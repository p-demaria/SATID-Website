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emaria/Documents/Portfolio Management/Python/SATID/"/>
    </mc:Choice>
  </mc:AlternateContent>
  <xr:revisionPtr revIDLastSave="0" documentId="13_ncr:1_{384D3FFF-2055-4F42-984A-3C9B52E5508A}" xr6:coauthVersionLast="47" xr6:coauthVersionMax="47" xr10:uidLastSave="{00000000-0000-0000-0000-000000000000}"/>
  <bookViews>
    <workbookView xWindow="54760" yWindow="620" windowWidth="32000" windowHeight="26060" xr2:uid="{44B78E89-1501-9041-951E-80AA146EF19A}"/>
  </bookViews>
  <sheets>
    <sheet name="Portfolio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E14" i="7"/>
  <c r="E12" i="7"/>
  <c r="E13" i="7" s="1"/>
  <c r="F13" i="7" s="1"/>
  <c r="F3" i="7" l="1"/>
  <c r="D105" i="7"/>
  <c r="E106" i="7"/>
  <c r="F106" i="7" s="1"/>
  <c r="D115" i="7"/>
  <c r="F5" i="7"/>
  <c r="F6" i="7"/>
  <c r="F7" i="7"/>
  <c r="F8" i="7"/>
  <c r="F4" i="7"/>
  <c r="E49" i="7"/>
  <c r="E52" i="7" s="1"/>
  <c r="F52" i="7" s="1"/>
  <c r="E83" i="7"/>
  <c r="E90" i="7" s="1"/>
  <c r="F90" i="7" s="1"/>
  <c r="E66" i="7"/>
  <c r="E74" i="7" s="1"/>
  <c r="F74" i="7" s="1"/>
  <c r="E26" i="7"/>
  <c r="E29" i="7" s="1"/>
  <c r="F29" i="7" s="1"/>
  <c r="E16" i="7"/>
  <c r="F16" i="7" s="1"/>
  <c r="D81" i="7"/>
  <c r="D65" i="7"/>
  <c r="D48" i="7"/>
  <c r="D25" i="7"/>
  <c r="E113" i="7" l="1"/>
  <c r="F113" i="7" s="1"/>
  <c r="E19" i="7"/>
  <c r="F19" i="7" s="1"/>
  <c r="E112" i="7"/>
  <c r="F112" i="7" s="1"/>
  <c r="E107" i="7"/>
  <c r="E111" i="7"/>
  <c r="F111" i="7" s="1"/>
  <c r="E110" i="7"/>
  <c r="F110" i="7" s="1"/>
  <c r="E109" i="7"/>
  <c r="F109" i="7" s="1"/>
  <c r="E114" i="7"/>
  <c r="F114" i="7" s="1"/>
  <c r="E108" i="7"/>
  <c r="F108" i="7" s="1"/>
  <c r="E101" i="7"/>
  <c r="F101" i="7" s="1"/>
  <c r="E100" i="7"/>
  <c r="F100" i="7" s="1"/>
  <c r="E93" i="7"/>
  <c r="F93" i="7" s="1"/>
  <c r="E88" i="7"/>
  <c r="F88" i="7" s="1"/>
  <c r="E86" i="7"/>
  <c r="F86" i="7" s="1"/>
  <c r="F83" i="7"/>
  <c r="E104" i="7"/>
  <c r="F104" i="7" s="1"/>
  <c r="E85" i="7"/>
  <c r="F85" i="7" s="1"/>
  <c r="E87" i="7"/>
  <c r="F87" i="7" s="1"/>
  <c r="E103" i="7"/>
  <c r="F103" i="7" s="1"/>
  <c r="E97" i="7"/>
  <c r="F97" i="7" s="1"/>
  <c r="E96" i="7"/>
  <c r="F96" i="7" s="1"/>
  <c r="E94" i="7"/>
  <c r="F94" i="7" s="1"/>
  <c r="E84" i="7"/>
  <c r="E95" i="7"/>
  <c r="F95" i="7" s="1"/>
  <c r="F66" i="7"/>
  <c r="F26" i="7"/>
  <c r="E24" i="7"/>
  <c r="F24" i="7" s="1"/>
  <c r="E15" i="7"/>
  <c r="F15" i="7" s="1"/>
  <c r="F49" i="7"/>
  <c r="E102" i="7"/>
  <c r="F102" i="7" s="1"/>
  <c r="E89" i="7"/>
  <c r="F89" i="7" s="1"/>
  <c r="E43" i="7"/>
  <c r="F43" i="7" s="1"/>
  <c r="E41" i="7"/>
  <c r="F41" i="7" s="1"/>
  <c r="E36" i="7"/>
  <c r="F36" i="7" s="1"/>
  <c r="E34" i="7"/>
  <c r="F34" i="7" s="1"/>
  <c r="E42" i="7"/>
  <c r="F42" i="7" s="1"/>
  <c r="E35" i="7"/>
  <c r="F35" i="7" s="1"/>
  <c r="E28" i="7"/>
  <c r="F28" i="7" s="1"/>
  <c r="E44" i="7"/>
  <c r="F44" i="7" s="1"/>
  <c r="E59" i="7"/>
  <c r="F59" i="7" s="1"/>
  <c r="E67" i="7"/>
  <c r="E73" i="7"/>
  <c r="F73" i="7" s="1"/>
  <c r="E72" i="7"/>
  <c r="F72" i="7" s="1"/>
  <c r="E80" i="7"/>
  <c r="F80" i="7" s="1"/>
  <c r="E79" i="7"/>
  <c r="F79" i="7" s="1"/>
  <c r="E50" i="7"/>
  <c r="E71" i="7"/>
  <c r="F71" i="7" s="1"/>
  <c r="E58" i="7"/>
  <c r="F58" i="7" s="1"/>
  <c r="E51" i="7"/>
  <c r="F51" i="7" s="1"/>
  <c r="E62" i="7"/>
  <c r="F62" i="7" s="1"/>
  <c r="E54" i="7"/>
  <c r="F54" i="7" s="1"/>
  <c r="E76" i="7"/>
  <c r="F76" i="7" s="1"/>
  <c r="E68" i="7"/>
  <c r="F68" i="7" s="1"/>
  <c r="E64" i="7"/>
  <c r="F64" i="7" s="1"/>
  <c r="E78" i="7"/>
  <c r="F78" i="7" s="1"/>
  <c r="E63" i="7"/>
  <c r="F63" i="7" s="1"/>
  <c r="E77" i="7"/>
  <c r="F77" i="7" s="1"/>
  <c r="E61" i="7"/>
  <c r="F61" i="7" s="1"/>
  <c r="E53" i="7"/>
  <c r="F53" i="7" s="1"/>
  <c r="E75" i="7"/>
  <c r="F75" i="7" s="1"/>
  <c r="E57" i="7"/>
  <c r="F57" i="7" s="1"/>
  <c r="E56" i="7"/>
  <c r="F56" i="7" s="1"/>
  <c r="E70" i="7"/>
  <c r="F70" i="7" s="1"/>
  <c r="E55" i="7"/>
  <c r="F55" i="7" s="1"/>
  <c r="E69" i="7"/>
  <c r="F69" i="7" s="1"/>
  <c r="E60" i="7"/>
  <c r="F60" i="7" s="1"/>
  <c r="E92" i="7"/>
  <c r="F92" i="7" s="1"/>
  <c r="E91" i="7"/>
  <c r="E99" i="7"/>
  <c r="F99" i="7" s="1"/>
  <c r="E98" i="7"/>
  <c r="F98" i="7" s="1"/>
  <c r="E47" i="7"/>
  <c r="F47" i="7" s="1"/>
  <c r="E39" i="7"/>
  <c r="F39" i="7" s="1"/>
  <c r="E31" i="7"/>
  <c r="F31" i="7" s="1"/>
  <c r="E46" i="7"/>
  <c r="F46" i="7" s="1"/>
  <c r="E38" i="7"/>
  <c r="F38" i="7" s="1"/>
  <c r="E30" i="7"/>
  <c r="F30" i="7" s="1"/>
  <c r="E33" i="7"/>
  <c r="F33" i="7" s="1"/>
  <c r="E27" i="7"/>
  <c r="E40" i="7"/>
  <c r="F40" i="7" s="1"/>
  <c r="E32" i="7"/>
  <c r="F32" i="7" s="1"/>
  <c r="E45" i="7"/>
  <c r="F45" i="7" s="1"/>
  <c r="E37" i="7"/>
  <c r="F37" i="7" s="1"/>
  <c r="E22" i="7"/>
  <c r="F22" i="7" s="1"/>
  <c r="E21" i="7"/>
  <c r="F21" i="7" s="1"/>
  <c r="E20" i="7"/>
  <c r="F20" i="7" s="1"/>
  <c r="E23" i="7"/>
  <c r="F23" i="7" s="1"/>
  <c r="E18" i="7"/>
  <c r="F18" i="7" s="1"/>
  <c r="E17" i="7"/>
  <c r="F17" i="7" s="1"/>
  <c r="E48" i="7" l="1"/>
  <c r="E115" i="7"/>
  <c r="F107" i="7"/>
  <c r="F115" i="7" s="1"/>
  <c r="F84" i="7"/>
  <c r="E105" i="7"/>
  <c r="F50" i="7"/>
  <c r="E82" i="7"/>
  <c r="E81" i="7"/>
  <c r="F81" i="7" s="1"/>
  <c r="F67" i="7"/>
  <c r="F91" i="7"/>
  <c r="E25" i="7"/>
  <c r="F48" i="7"/>
  <c r="F27" i="7"/>
  <c r="E65" i="7"/>
  <c r="F65" i="7" s="1"/>
  <c r="F25" i="7" l="1"/>
  <c r="E117" i="7"/>
  <c r="F105" i="7"/>
  <c r="F82" i="7"/>
  <c r="F117" i="7" l="1"/>
</calcChain>
</file>

<file path=xl/sharedStrings.xml><?xml version="1.0" encoding="utf-8"?>
<sst xmlns="http://schemas.openxmlformats.org/spreadsheetml/2006/main" count="221" uniqueCount="201">
  <si>
    <t>US High Yield</t>
  </si>
  <si>
    <t>Thematic ETF</t>
  </si>
  <si>
    <t>HEAL</t>
  </si>
  <si>
    <t>Water</t>
  </si>
  <si>
    <t>Aging Population</t>
  </si>
  <si>
    <t>Medical Devices</t>
  </si>
  <si>
    <t>Neuroscience</t>
  </si>
  <si>
    <t>Biotechnology</t>
  </si>
  <si>
    <t>E.M. Consumer Growth</t>
  </si>
  <si>
    <t>AeroSpace &amp; Defense</t>
  </si>
  <si>
    <t>Uranium</t>
  </si>
  <si>
    <t>Infrastructure</t>
  </si>
  <si>
    <t>Pharmaceutical</t>
  </si>
  <si>
    <t>Sectoral ETF</t>
  </si>
  <si>
    <t>Technology</t>
  </si>
  <si>
    <t>XLK</t>
  </si>
  <si>
    <t>Consumer Discretionary</t>
  </si>
  <si>
    <t>XLY</t>
  </si>
  <si>
    <t>Consumer Staples</t>
  </si>
  <si>
    <t>XLP</t>
  </si>
  <si>
    <t>Energy</t>
  </si>
  <si>
    <t>XLE</t>
  </si>
  <si>
    <t>Financials</t>
  </si>
  <si>
    <t>XLF</t>
  </si>
  <si>
    <t>Health Care</t>
  </si>
  <si>
    <t>XLV</t>
  </si>
  <si>
    <t>Utilities</t>
  </si>
  <si>
    <t>XLU</t>
  </si>
  <si>
    <t>Industrials</t>
  </si>
  <si>
    <t>XLI</t>
  </si>
  <si>
    <t>Materials</t>
  </si>
  <si>
    <t>XLB</t>
  </si>
  <si>
    <t>Communication Services</t>
  </si>
  <si>
    <t>XLC</t>
  </si>
  <si>
    <t>Real Estate</t>
  </si>
  <si>
    <t>IYR</t>
  </si>
  <si>
    <t>Home Builders</t>
  </si>
  <si>
    <t>XHB</t>
  </si>
  <si>
    <t>Oil &amp; Gas exploration</t>
  </si>
  <si>
    <t>XOP</t>
  </si>
  <si>
    <t>Natural Resources</t>
  </si>
  <si>
    <t>GNR</t>
  </si>
  <si>
    <t>Semiconductors</t>
  </si>
  <si>
    <t>SMH</t>
  </si>
  <si>
    <t>iH2O</t>
  </si>
  <si>
    <t>AGED</t>
  </si>
  <si>
    <t>BMED</t>
  </si>
  <si>
    <t>IHI</t>
  </si>
  <si>
    <t>IBB</t>
  </si>
  <si>
    <t>IBRN</t>
  </si>
  <si>
    <t>CEMG</t>
  </si>
  <si>
    <t>URA</t>
  </si>
  <si>
    <t>PAVE</t>
  </si>
  <si>
    <t>IHE</t>
  </si>
  <si>
    <t>Future HealthCare</t>
  </si>
  <si>
    <t>HealthCare Innovation</t>
  </si>
  <si>
    <t xml:space="preserve">Timber </t>
  </si>
  <si>
    <t>WOOD</t>
  </si>
  <si>
    <t>Dry Shipping</t>
  </si>
  <si>
    <t>Secular Growth ETF</t>
  </si>
  <si>
    <t>Fintech</t>
  </si>
  <si>
    <t>Artificial Intelligence</t>
  </si>
  <si>
    <t>AIQ</t>
  </si>
  <si>
    <t>Robotics</t>
  </si>
  <si>
    <t>BOTZ</t>
  </si>
  <si>
    <t>CyberSecurity</t>
  </si>
  <si>
    <t>BUG</t>
  </si>
  <si>
    <t>Cloud Computing</t>
  </si>
  <si>
    <t>CLOU</t>
  </si>
  <si>
    <t>EBIZ</t>
  </si>
  <si>
    <t>Telemedicine</t>
  </si>
  <si>
    <t>EDOC</t>
  </si>
  <si>
    <t>Genomics</t>
  </si>
  <si>
    <t>GNOM</t>
  </si>
  <si>
    <t>Blockchain</t>
  </si>
  <si>
    <t>BKCH</t>
  </si>
  <si>
    <t>Milenials</t>
  </si>
  <si>
    <t>MILN</t>
  </si>
  <si>
    <t>Gaming</t>
  </si>
  <si>
    <t>HERO</t>
  </si>
  <si>
    <t>Sports Betting and Casino</t>
  </si>
  <si>
    <t>BETZ</t>
  </si>
  <si>
    <t>Quantum Computing</t>
  </si>
  <si>
    <t>QTUM</t>
  </si>
  <si>
    <t>Autonomus Driving</t>
  </si>
  <si>
    <t>ARKQ</t>
  </si>
  <si>
    <t>SOCL</t>
  </si>
  <si>
    <t>Social Media</t>
  </si>
  <si>
    <t>3D Printing</t>
  </si>
  <si>
    <t>PRNT</t>
  </si>
  <si>
    <t>Space</t>
  </si>
  <si>
    <t>ARKX</t>
  </si>
  <si>
    <t>VPN</t>
  </si>
  <si>
    <t>ESPO</t>
  </si>
  <si>
    <t>SNSR</t>
  </si>
  <si>
    <t>Digital Data Centers and Infrastructure</t>
  </si>
  <si>
    <t>Video Gaming and Sports</t>
  </si>
  <si>
    <t>Internet of Things</t>
  </si>
  <si>
    <t>E-Commerce</t>
  </si>
  <si>
    <t>ARKG</t>
  </si>
  <si>
    <t>ETF</t>
  </si>
  <si>
    <t>US</t>
  </si>
  <si>
    <t>US Tech</t>
  </si>
  <si>
    <t>Europe</t>
  </si>
  <si>
    <t>Germany</t>
  </si>
  <si>
    <t>France</t>
  </si>
  <si>
    <t>Italy</t>
  </si>
  <si>
    <t>Netherlands</t>
  </si>
  <si>
    <t>UK</t>
  </si>
  <si>
    <t>Brazil</t>
  </si>
  <si>
    <t>Mexico</t>
  </si>
  <si>
    <t>India</t>
  </si>
  <si>
    <t>China</t>
  </si>
  <si>
    <t>South Korea</t>
  </si>
  <si>
    <t>Taiwan</t>
  </si>
  <si>
    <t>SPY</t>
  </si>
  <si>
    <t>QQQ</t>
  </si>
  <si>
    <t>EWZ</t>
  </si>
  <si>
    <t>EWW</t>
  </si>
  <si>
    <t>INDA</t>
  </si>
  <si>
    <t>MCHI</t>
  </si>
  <si>
    <t>EWY</t>
  </si>
  <si>
    <t>EWT</t>
  </si>
  <si>
    <t>Turkey</t>
  </si>
  <si>
    <t>TUR</t>
  </si>
  <si>
    <t>Malaysia</t>
  </si>
  <si>
    <t>EWM</t>
  </si>
  <si>
    <t>E.M. Asia</t>
  </si>
  <si>
    <t>EEMA</t>
  </si>
  <si>
    <t>Asia ex Japan</t>
  </si>
  <si>
    <t>AAXJ</t>
  </si>
  <si>
    <t>Thailand</t>
  </si>
  <si>
    <t>THD</t>
  </si>
  <si>
    <t>Fixed Income ETF</t>
  </si>
  <si>
    <t>VGK</t>
  </si>
  <si>
    <t>EWI</t>
  </si>
  <si>
    <t>EWQ</t>
  </si>
  <si>
    <t>EWG</t>
  </si>
  <si>
    <t>EWN</t>
  </si>
  <si>
    <t>Switzerland</t>
  </si>
  <si>
    <t>EWL</t>
  </si>
  <si>
    <t>EWU</t>
  </si>
  <si>
    <t>Corporate E.M.</t>
  </si>
  <si>
    <t>CEMB</t>
  </si>
  <si>
    <t>Investment Grade Corporate</t>
  </si>
  <si>
    <t>Investment Grade 1-5 Yrs</t>
  </si>
  <si>
    <t>IGSB</t>
  </si>
  <si>
    <t>US Treasury Bills</t>
  </si>
  <si>
    <t>BIL</t>
  </si>
  <si>
    <t>Emerging Market Bonds</t>
  </si>
  <si>
    <t>EMB</t>
  </si>
  <si>
    <t>IEF</t>
  </si>
  <si>
    <t>US Treasurey 7-10 Yrs</t>
  </si>
  <si>
    <t>IGIB</t>
  </si>
  <si>
    <t>Investment Grade 5-10 Yrs</t>
  </si>
  <si>
    <t>SHYG</t>
  </si>
  <si>
    <t>US High Yield 0-5 Yrs</t>
  </si>
  <si>
    <t>Equity Country ETF</t>
  </si>
  <si>
    <t>BDRY</t>
  </si>
  <si>
    <t>Core Equity</t>
  </si>
  <si>
    <t>Secular Growth Equity</t>
  </si>
  <si>
    <t>Alternative Investments</t>
  </si>
  <si>
    <t>Core Equity Funds and ETFs</t>
  </si>
  <si>
    <t>Sectoral and Thematic Equity</t>
  </si>
  <si>
    <t>Fixed Income Funds and ETFs</t>
  </si>
  <si>
    <t>Asset Class</t>
  </si>
  <si>
    <t>%</t>
  </si>
  <si>
    <t>Japan</t>
  </si>
  <si>
    <t>EWJ</t>
  </si>
  <si>
    <t>Sector &amp; Thematic</t>
  </si>
  <si>
    <t>PPA</t>
  </si>
  <si>
    <t xml:space="preserve">SHY </t>
  </si>
  <si>
    <t>US TREASURY 1-3 YRS</t>
  </si>
  <si>
    <t>USD</t>
  </si>
  <si>
    <t>TOTAL</t>
  </si>
  <si>
    <t>Total Fixed Income</t>
  </si>
  <si>
    <t>Total Core Equity</t>
  </si>
  <si>
    <t>Subtotal ETFs</t>
  </si>
  <si>
    <t>Subtotal Sectoral</t>
  </si>
  <si>
    <t>Subtotal Thematic</t>
  </si>
  <si>
    <t>Total Sector &amp; Thematic</t>
  </si>
  <si>
    <t>Subtotal Alternative Investments</t>
  </si>
  <si>
    <t>Total Secular Growth</t>
  </si>
  <si>
    <t>HYS</t>
  </si>
  <si>
    <t xml:space="preserve">VCSH </t>
  </si>
  <si>
    <t>LQD</t>
  </si>
  <si>
    <t>Cash ETF</t>
  </si>
  <si>
    <t>Cash</t>
  </si>
  <si>
    <t>Gold</t>
  </si>
  <si>
    <t>Equity Long/Short</t>
  </si>
  <si>
    <t>Multi Strategy</t>
  </si>
  <si>
    <t>CTA</t>
  </si>
  <si>
    <t>GLD</t>
  </si>
  <si>
    <t>FTLS</t>
  </si>
  <si>
    <t>QAI</t>
  </si>
  <si>
    <t>WTMF</t>
  </si>
  <si>
    <t>ARKF</t>
  </si>
  <si>
    <t>ALLOCATIONS</t>
  </si>
  <si>
    <t>AMOUNT</t>
  </si>
  <si>
    <t>Secular Growth</t>
  </si>
  <si>
    <t>Alternative Investments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</si>
</sst>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_ * #,##0_ ;_ * \-#,##0_ ;_ * &quot;-&quot;??_ ;_ 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9" fontId="0" fillId="3" borderId="0" xfId="2" applyFont="1" applyFill="1" applyAlignment="1">
      <alignment horizontal="right"/>
    </xf>
    <xf numFmtId="165" fontId="0" fillId="0" borderId="0" xfId="2" applyNumberFormat="1" applyFont="1"/>
    <xf numFmtId="165" fontId="0" fillId="0" borderId="0" xfId="0" applyNumberFormat="1"/>
    <xf numFmtId="165" fontId="3" fillId="0" borderId="0" xfId="2" applyNumberFormat="1" applyFont="1"/>
    <xf numFmtId="9" fontId="2" fillId="2" borderId="0" xfId="2" applyFont="1" applyFill="1" applyAlignment="1">
      <alignment horizontal="right" vertical="center"/>
    </xf>
    <xf numFmtId="165" fontId="2" fillId="2" borderId="0" xfId="2" applyNumberFormat="1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165" fontId="2" fillId="4" borderId="0" xfId="2" applyNumberFormat="1" applyFont="1" applyFill="1" applyAlignment="1">
      <alignment horizontal="right" vertic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2" applyFont="1" applyFill="1" applyAlignment="1">
      <alignment horizontal="right"/>
    </xf>
    <xf numFmtId="165" fontId="0" fillId="6" borderId="0" xfId="2" applyNumberFormat="1" applyFont="1" applyFill="1"/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righ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2" applyFont="1" applyFill="1" applyAlignment="1">
      <alignment horizontal="right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165" fontId="2" fillId="9" borderId="0" xfId="2" applyNumberFormat="1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9" fontId="0" fillId="10" borderId="0" xfId="2" applyFont="1" applyFill="1" applyAlignment="1">
      <alignment horizontal="right"/>
    </xf>
    <xf numFmtId="167" fontId="0" fillId="3" borderId="0" xfId="1" applyNumberFormat="1" applyFont="1" applyFill="1"/>
    <xf numFmtId="167" fontId="2" fillId="2" borderId="0" xfId="1" applyNumberFormat="1" applyFont="1" applyFill="1" applyAlignment="1">
      <alignment horizontal="right" vertical="center"/>
    </xf>
    <xf numFmtId="165" fontId="2" fillId="5" borderId="0" xfId="2" applyNumberFormat="1" applyFont="1" applyFill="1"/>
    <xf numFmtId="167" fontId="2" fillId="5" borderId="0" xfId="0" applyNumberFormat="1" applyFont="1" applyFill="1"/>
    <xf numFmtId="0" fontId="2" fillId="5" borderId="0" xfId="0" applyFont="1" applyFill="1"/>
    <xf numFmtId="9" fontId="2" fillId="5" borderId="0" xfId="0" applyNumberFormat="1" applyFont="1" applyFill="1"/>
    <xf numFmtId="165" fontId="0" fillId="3" borderId="0" xfId="2" applyNumberFormat="1" applyFont="1" applyFill="1" applyAlignment="1">
      <alignment horizontal="right"/>
    </xf>
    <xf numFmtId="167" fontId="0" fillId="6" borderId="0" xfId="1" applyNumberFormat="1" applyFont="1" applyFill="1" applyAlignment="1">
      <alignment horizontal="center"/>
    </xf>
    <xf numFmtId="167" fontId="2" fillId="2" borderId="0" xfId="1" applyNumberFormat="1" applyFont="1" applyFill="1" applyAlignment="1">
      <alignment horizontal="center" vertical="center"/>
    </xf>
    <xf numFmtId="167" fontId="0" fillId="3" borderId="0" xfId="1" applyNumberFormat="1" applyFont="1" applyFill="1" applyAlignment="1">
      <alignment horizontal="center"/>
    </xf>
    <xf numFmtId="9" fontId="2" fillId="7" borderId="0" xfId="2" applyFont="1" applyFill="1" applyAlignment="1">
      <alignment horizontal="right" vertical="center"/>
    </xf>
    <xf numFmtId="167" fontId="2" fillId="7" borderId="0" xfId="1" applyNumberFormat="1" applyFont="1" applyFill="1" applyAlignment="1">
      <alignment horizontal="center" vertical="center"/>
    </xf>
    <xf numFmtId="167" fontId="0" fillId="8" borderId="0" xfId="1" applyNumberFormat="1" applyFont="1" applyFill="1" applyAlignment="1">
      <alignment horizontal="center"/>
    </xf>
    <xf numFmtId="0" fontId="2" fillId="11" borderId="0" xfId="0" applyFont="1" applyFill="1"/>
    <xf numFmtId="9" fontId="2" fillId="11" borderId="0" xfId="0" applyNumberFormat="1" applyFont="1" applyFill="1"/>
    <xf numFmtId="165" fontId="2" fillId="11" borderId="0" xfId="2" applyNumberFormat="1" applyFont="1" applyFill="1"/>
    <xf numFmtId="167" fontId="2" fillId="11" borderId="0" xfId="0" applyNumberFormat="1" applyFont="1" applyFill="1"/>
    <xf numFmtId="167" fontId="2" fillId="7" borderId="0" xfId="1" applyNumberFormat="1" applyFont="1" applyFill="1" applyAlignment="1">
      <alignment horizontal="right" vertical="center"/>
    </xf>
    <xf numFmtId="165" fontId="0" fillId="10" borderId="0" xfId="2" applyNumberFormat="1" applyFont="1" applyFill="1" applyAlignment="1">
      <alignment horizontal="right"/>
    </xf>
    <xf numFmtId="167" fontId="2" fillId="9" borderId="0" xfId="1" applyNumberFormat="1" applyFont="1" applyFill="1" applyAlignment="1">
      <alignment horizontal="right" vertical="center"/>
    </xf>
    <xf numFmtId="167" fontId="0" fillId="10" borderId="0" xfId="1" applyNumberFormat="1" applyFont="1" applyFill="1" applyAlignment="1">
      <alignment horizontal="right"/>
    </xf>
    <xf numFmtId="166" fontId="0" fillId="3" borderId="0" xfId="1" applyNumberFormat="1" applyFont="1" applyFill="1" applyAlignment="1">
      <alignment horizontal="right"/>
    </xf>
    <xf numFmtId="9" fontId="2" fillId="2" borderId="0" xfId="0" applyNumberFormat="1" applyFont="1" applyFill="1" applyAlignment="1">
      <alignment horizontal="right" vertical="center"/>
    </xf>
    <xf numFmtId="165" fontId="0" fillId="8" borderId="0" xfId="2" applyNumberFormat="1" applyFont="1" applyFill="1" applyAlignment="1">
      <alignment horizontal="right"/>
    </xf>
    <xf numFmtId="9" fontId="2" fillId="9" borderId="0" xfId="0" applyNumberFormat="1" applyFont="1" applyFill="1" applyAlignment="1">
      <alignment horizontal="right"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right" vertical="center"/>
    </xf>
    <xf numFmtId="165" fontId="2" fillId="12" borderId="0" xfId="2" applyNumberFormat="1" applyFont="1" applyFill="1" applyAlignment="1">
      <alignment horizontal="right" vertical="center"/>
    </xf>
    <xf numFmtId="0" fontId="0" fillId="13" borderId="0" xfId="0" applyFill="1"/>
    <xf numFmtId="0" fontId="0" fillId="13" borderId="0" xfId="0" applyFill="1" applyAlignment="1">
      <alignment horizontal="center"/>
    </xf>
    <xf numFmtId="165" fontId="0" fillId="13" borderId="0" xfId="2" applyNumberFormat="1" applyFont="1" applyFill="1"/>
    <xf numFmtId="167" fontId="0" fillId="13" borderId="0" xfId="1" applyNumberFormat="1" applyFont="1" applyFill="1" applyAlignment="1">
      <alignment horizontal="center"/>
    </xf>
    <xf numFmtId="167" fontId="0" fillId="0" borderId="0" xfId="0" applyNumberFormat="1"/>
    <xf numFmtId="165" fontId="0" fillId="0" borderId="0" xfId="2" applyNumberFormat="1" applyFont="1" applyAlignment="1">
      <alignment horizontal="right"/>
    </xf>
    <xf numFmtId="0" fontId="0" fillId="0" borderId="0" xfId="0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2600"/>
      <color rgb="FFFF7E79"/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E58C-77C0-6A4E-86B3-208D9C5FDA20}">
  <dimension ref="A1:G117"/>
  <sheetViews>
    <sheetView tabSelected="1" zoomScale="150" zoomScaleNormal="150" workbookViewId="0">
      <selection activeCell="C26" sqref="C26"/>
    </sheetView>
  </sheetViews>
  <sheetFormatPr baseColWidth="10" defaultRowHeight="16" x14ac:dyDescent="0.2"/>
  <cols>
    <col min="1" max="1" width="11" customWidth="1"/>
    <col min="2" max="2" width="39.1640625" bestFit="1" customWidth="1"/>
    <col min="3" max="3" width="11.83203125" customWidth="1"/>
    <col min="4" max="4" width="10.83203125" customWidth="1"/>
    <col min="5" max="5" width="14.83203125" style="7" customWidth="1"/>
    <col min="6" max="6" width="14.5" customWidth="1"/>
    <col min="7" max="7" width="26.83203125" customWidth="1"/>
    <col min="8" max="8" width="9.83203125" customWidth="1"/>
    <col min="9" max="9" width="11.1640625" bestFit="1" customWidth="1"/>
  </cols>
  <sheetData>
    <row r="1" spans="1:7" ht="25" customHeight="1" x14ac:dyDescent="0.2">
      <c r="E1" s="67" t="s">
        <v>197</v>
      </c>
      <c r="F1" s="68" t="s">
        <v>198</v>
      </c>
    </row>
    <row r="2" spans="1:7" ht="23" customHeight="1" x14ac:dyDescent="0.2">
      <c r="B2" s="1" t="s">
        <v>165</v>
      </c>
      <c r="C2" s="1"/>
      <c r="D2" s="1"/>
      <c r="E2" s="5" t="s">
        <v>166</v>
      </c>
      <c r="F2" s="5" t="s">
        <v>173</v>
      </c>
    </row>
    <row r="3" spans="1:7" ht="20" customHeight="1" x14ac:dyDescent="0.2">
      <c r="B3" s="3" t="s">
        <v>187</v>
      </c>
      <c r="C3" s="3"/>
      <c r="D3" s="3"/>
      <c r="E3" s="6">
        <v>0.03</v>
      </c>
      <c r="F3" s="33">
        <f t="shared" ref="F3:F8" si="0">+$F$9*E3</f>
        <v>300000</v>
      </c>
    </row>
    <row r="4" spans="1:7" ht="18" customHeight="1" x14ac:dyDescent="0.2">
      <c r="B4" s="3" t="s">
        <v>164</v>
      </c>
      <c r="C4" s="3"/>
      <c r="D4" s="3"/>
      <c r="E4" s="6">
        <v>0.3</v>
      </c>
      <c r="F4" s="33">
        <f t="shared" si="0"/>
        <v>3000000</v>
      </c>
    </row>
    <row r="5" spans="1:7" ht="18" customHeight="1" x14ac:dyDescent="0.2">
      <c r="B5" s="3" t="s">
        <v>162</v>
      </c>
      <c r="C5" s="3"/>
      <c r="D5" s="3"/>
      <c r="E5" s="6">
        <v>0.35</v>
      </c>
      <c r="F5" s="33">
        <f t="shared" si="0"/>
        <v>3500000</v>
      </c>
    </row>
    <row r="6" spans="1:7" ht="18" customHeight="1" x14ac:dyDescent="0.2">
      <c r="B6" s="3" t="s">
        <v>163</v>
      </c>
      <c r="C6" s="3"/>
      <c r="D6" s="3"/>
      <c r="E6" s="6">
        <v>0.12</v>
      </c>
      <c r="F6" s="33">
        <f t="shared" si="0"/>
        <v>1200000</v>
      </c>
    </row>
    <row r="7" spans="1:7" ht="18" customHeight="1" x14ac:dyDescent="0.2">
      <c r="B7" s="3" t="s">
        <v>160</v>
      </c>
      <c r="C7" s="3"/>
      <c r="D7" s="3"/>
      <c r="E7" s="6">
        <v>0.08</v>
      </c>
      <c r="F7" s="33">
        <f t="shared" si="0"/>
        <v>800000</v>
      </c>
    </row>
    <row r="8" spans="1:7" ht="18" customHeight="1" x14ac:dyDescent="0.2">
      <c r="B8" s="3" t="s">
        <v>161</v>
      </c>
      <c r="C8" s="3"/>
      <c r="D8" s="3"/>
      <c r="E8" s="6">
        <v>0.12</v>
      </c>
      <c r="F8" s="33">
        <f t="shared" si="0"/>
        <v>1200000</v>
      </c>
    </row>
    <row r="9" spans="1:7" ht="20" customHeight="1" x14ac:dyDescent="0.2">
      <c r="B9" s="1" t="s">
        <v>174</v>
      </c>
      <c r="C9" s="1"/>
      <c r="D9" s="1"/>
      <c r="E9" s="10">
        <f>SUM(E3:E8)</f>
        <v>0.99999999999999989</v>
      </c>
      <c r="F9" s="34">
        <v>10000000</v>
      </c>
    </row>
    <row r="10" spans="1:7" ht="20" customHeight="1" x14ac:dyDescent="0.2"/>
    <row r="11" spans="1:7" ht="20" customHeight="1" x14ac:dyDescent="0.2"/>
    <row r="12" spans="1:7" x14ac:dyDescent="0.2">
      <c r="A12" s="58" t="s">
        <v>186</v>
      </c>
      <c r="B12" s="58" t="s">
        <v>186</v>
      </c>
      <c r="C12" s="59" t="s">
        <v>100</v>
      </c>
      <c r="D12" s="60" t="s">
        <v>166</v>
      </c>
      <c r="E12" s="61">
        <f>+E3</f>
        <v>0.03</v>
      </c>
      <c r="F12" s="60" t="s">
        <v>173</v>
      </c>
    </row>
    <row r="13" spans="1:7" x14ac:dyDescent="0.2">
      <c r="B13" s="62" t="s">
        <v>147</v>
      </c>
      <c r="C13" s="63" t="s">
        <v>148</v>
      </c>
      <c r="D13" s="62"/>
      <c r="E13" s="64">
        <f>+E12</f>
        <v>0.03</v>
      </c>
      <c r="F13" s="65">
        <f t="shared" ref="F13:F25" si="1">+E13*$F$9</f>
        <v>300000</v>
      </c>
    </row>
    <row r="14" spans="1:7" x14ac:dyDescent="0.2">
      <c r="A14" s="12" t="s">
        <v>133</v>
      </c>
      <c r="B14" s="12" t="s">
        <v>133</v>
      </c>
      <c r="C14" s="13" t="s">
        <v>100</v>
      </c>
      <c r="D14" s="14" t="s">
        <v>166</v>
      </c>
      <c r="E14" s="15">
        <f>+E4</f>
        <v>0.3</v>
      </c>
      <c r="F14" s="14" t="s">
        <v>173</v>
      </c>
      <c r="G14" s="8"/>
    </row>
    <row r="15" spans="1:7" x14ac:dyDescent="0.2">
      <c r="B15" s="16" t="s">
        <v>172</v>
      </c>
      <c r="C15" s="17" t="s">
        <v>171</v>
      </c>
      <c r="D15" s="18"/>
      <c r="E15" s="19">
        <f t="shared" ref="E15:E24" si="2">+D15*$E$14</f>
        <v>0</v>
      </c>
      <c r="F15" s="40">
        <f t="shared" si="1"/>
        <v>0</v>
      </c>
    </row>
    <row r="16" spans="1:7" x14ac:dyDescent="0.2">
      <c r="B16" s="16" t="s">
        <v>152</v>
      </c>
      <c r="C16" s="17" t="s">
        <v>151</v>
      </c>
      <c r="D16" s="18">
        <v>0</v>
      </c>
      <c r="E16" s="19">
        <f t="shared" si="2"/>
        <v>0</v>
      </c>
      <c r="F16" s="40">
        <f t="shared" si="1"/>
        <v>0</v>
      </c>
    </row>
    <row r="17" spans="1:6" x14ac:dyDescent="0.2">
      <c r="B17" s="16" t="s">
        <v>145</v>
      </c>
      <c r="C17" s="17" t="s">
        <v>146</v>
      </c>
      <c r="D17" s="18">
        <v>0.05</v>
      </c>
      <c r="E17" s="19">
        <f t="shared" si="2"/>
        <v>1.4999999999999999E-2</v>
      </c>
      <c r="F17" s="40">
        <f t="shared" si="1"/>
        <v>150000</v>
      </c>
    </row>
    <row r="18" spans="1:6" x14ac:dyDescent="0.2">
      <c r="B18" s="16" t="s">
        <v>154</v>
      </c>
      <c r="C18" s="17" t="s">
        <v>153</v>
      </c>
      <c r="D18" s="18">
        <v>0.05</v>
      </c>
      <c r="E18" s="19">
        <f t="shared" si="2"/>
        <v>1.4999999999999999E-2</v>
      </c>
      <c r="F18" s="40">
        <f t="shared" si="1"/>
        <v>150000</v>
      </c>
    </row>
    <row r="19" spans="1:6" x14ac:dyDescent="0.2">
      <c r="B19" s="16" t="s">
        <v>144</v>
      </c>
      <c r="C19" s="17" t="s">
        <v>184</v>
      </c>
      <c r="D19" s="18">
        <v>0</v>
      </c>
      <c r="E19" s="19">
        <f t="shared" si="2"/>
        <v>0</v>
      </c>
      <c r="F19" s="40">
        <f t="shared" si="1"/>
        <v>0</v>
      </c>
    </row>
    <row r="20" spans="1:6" x14ac:dyDescent="0.2">
      <c r="B20" s="16" t="s">
        <v>144</v>
      </c>
      <c r="C20" s="17" t="s">
        <v>185</v>
      </c>
      <c r="D20" s="18">
        <v>0.2</v>
      </c>
      <c r="E20" s="19">
        <f t="shared" si="2"/>
        <v>0.06</v>
      </c>
      <c r="F20" s="40">
        <f t="shared" si="1"/>
        <v>600000</v>
      </c>
    </row>
    <row r="21" spans="1:6" x14ac:dyDescent="0.2">
      <c r="B21" s="16" t="s">
        <v>156</v>
      </c>
      <c r="C21" s="17" t="s">
        <v>155</v>
      </c>
      <c r="D21" s="18">
        <v>0</v>
      </c>
      <c r="E21" s="19">
        <f t="shared" si="2"/>
        <v>0</v>
      </c>
      <c r="F21" s="40">
        <f t="shared" si="1"/>
        <v>0</v>
      </c>
    </row>
    <row r="22" spans="1:6" x14ac:dyDescent="0.2">
      <c r="B22" s="16" t="s">
        <v>0</v>
      </c>
      <c r="C22" s="17" t="s">
        <v>183</v>
      </c>
      <c r="D22" s="18">
        <v>0.35</v>
      </c>
      <c r="E22" s="19">
        <f t="shared" si="2"/>
        <v>0.105</v>
      </c>
      <c r="F22" s="40">
        <f t="shared" si="1"/>
        <v>1050000</v>
      </c>
    </row>
    <row r="23" spans="1:6" x14ac:dyDescent="0.2">
      <c r="B23" s="16" t="s">
        <v>149</v>
      </c>
      <c r="C23" s="17" t="s">
        <v>150</v>
      </c>
      <c r="D23" s="18">
        <v>0.2</v>
      </c>
      <c r="E23" s="19">
        <f t="shared" si="2"/>
        <v>0.06</v>
      </c>
      <c r="F23" s="40">
        <f t="shared" si="1"/>
        <v>600000</v>
      </c>
    </row>
    <row r="24" spans="1:6" x14ac:dyDescent="0.2">
      <c r="B24" s="16" t="s">
        <v>142</v>
      </c>
      <c r="C24" s="17" t="s">
        <v>143</v>
      </c>
      <c r="D24" s="18">
        <v>0.15</v>
      </c>
      <c r="E24" s="19">
        <f t="shared" si="2"/>
        <v>4.4999999999999998E-2</v>
      </c>
      <c r="F24" s="40">
        <f t="shared" si="1"/>
        <v>450000</v>
      </c>
    </row>
    <row r="25" spans="1:6" x14ac:dyDescent="0.2">
      <c r="A25" s="12" t="s">
        <v>175</v>
      </c>
      <c r="B25" s="37" t="s">
        <v>177</v>
      </c>
      <c r="C25" s="37"/>
      <c r="D25" s="38">
        <f>SUM(D15:D24)</f>
        <v>1</v>
      </c>
      <c r="E25" s="35">
        <f>SUM(E15:E24)</f>
        <v>0.3</v>
      </c>
      <c r="F25" s="36">
        <f t="shared" si="1"/>
        <v>3000000</v>
      </c>
    </row>
    <row r="26" spans="1:6" x14ac:dyDescent="0.2">
      <c r="A26" s="1" t="s">
        <v>159</v>
      </c>
      <c r="B26" s="1" t="s">
        <v>157</v>
      </c>
      <c r="C26" s="2" t="s">
        <v>100</v>
      </c>
      <c r="D26" s="5" t="s">
        <v>166</v>
      </c>
      <c r="E26" s="11">
        <f>+E5</f>
        <v>0.35</v>
      </c>
      <c r="F26" s="41">
        <f t="shared" ref="F26:F47" si="3">+E26*$F$9</f>
        <v>3500000</v>
      </c>
    </row>
    <row r="27" spans="1:6" x14ac:dyDescent="0.2">
      <c r="A27" s="9">
        <v>0.7</v>
      </c>
      <c r="B27" s="3" t="s">
        <v>101</v>
      </c>
      <c r="C27" s="4" t="s">
        <v>115</v>
      </c>
      <c r="D27" s="6">
        <v>0.5</v>
      </c>
      <c r="E27" s="39">
        <f>+D27*$E$26</f>
        <v>0.17499999999999999</v>
      </c>
      <c r="F27" s="42">
        <f t="shared" si="3"/>
        <v>1750000</v>
      </c>
    </row>
    <row r="28" spans="1:6" x14ac:dyDescent="0.2">
      <c r="A28" s="9"/>
      <c r="B28" s="3" t="s">
        <v>102</v>
      </c>
      <c r="C28" s="4" t="s">
        <v>116</v>
      </c>
      <c r="D28" s="6">
        <v>0.1</v>
      </c>
      <c r="E28" s="39">
        <f t="shared" ref="E28:E47" si="4">+D28*$E$26</f>
        <v>3.4999999999999996E-2</v>
      </c>
      <c r="F28" s="42">
        <f t="shared" si="3"/>
        <v>349999.99999999994</v>
      </c>
    </row>
    <row r="29" spans="1:6" x14ac:dyDescent="0.2">
      <c r="A29" s="9"/>
      <c r="B29" s="3" t="s">
        <v>103</v>
      </c>
      <c r="C29" s="4" t="s">
        <v>134</v>
      </c>
      <c r="D29" s="6">
        <v>0.1</v>
      </c>
      <c r="E29" s="39">
        <f t="shared" si="4"/>
        <v>3.4999999999999996E-2</v>
      </c>
      <c r="F29" s="42">
        <f t="shared" si="3"/>
        <v>349999.99999999994</v>
      </c>
    </row>
    <row r="30" spans="1:6" x14ac:dyDescent="0.2">
      <c r="A30" s="9">
        <v>0.04</v>
      </c>
      <c r="B30" s="3" t="s">
        <v>108</v>
      </c>
      <c r="C30" s="4" t="s">
        <v>141</v>
      </c>
      <c r="D30" s="6">
        <v>0</v>
      </c>
      <c r="E30" s="39">
        <f t="shared" si="4"/>
        <v>0</v>
      </c>
      <c r="F30" s="42">
        <f t="shared" si="3"/>
        <v>0</v>
      </c>
    </row>
    <row r="31" spans="1:6" x14ac:dyDescent="0.2">
      <c r="A31" s="9">
        <v>0.03</v>
      </c>
      <c r="B31" s="3" t="s">
        <v>104</v>
      </c>
      <c r="C31" s="4" t="s">
        <v>137</v>
      </c>
      <c r="D31" s="6">
        <v>0.04</v>
      </c>
      <c r="E31" s="39">
        <f t="shared" si="4"/>
        <v>1.3999999999999999E-2</v>
      </c>
      <c r="F31" s="42">
        <f t="shared" si="3"/>
        <v>140000</v>
      </c>
    </row>
    <row r="32" spans="1:6" x14ac:dyDescent="0.2">
      <c r="A32" s="9">
        <v>3.5000000000000003E-2</v>
      </c>
      <c r="B32" s="3" t="s">
        <v>105</v>
      </c>
      <c r="C32" s="4" t="s">
        <v>136</v>
      </c>
      <c r="D32" s="6">
        <v>0.03</v>
      </c>
      <c r="E32" s="39">
        <f t="shared" si="4"/>
        <v>1.0499999999999999E-2</v>
      </c>
      <c r="F32" s="42">
        <f t="shared" si="3"/>
        <v>104999.99999999999</v>
      </c>
    </row>
    <row r="33" spans="1:6" x14ac:dyDescent="0.2">
      <c r="A33" s="9"/>
      <c r="B33" s="3" t="s">
        <v>106</v>
      </c>
      <c r="C33" s="4" t="s">
        <v>135</v>
      </c>
      <c r="D33" s="6">
        <v>0.03</v>
      </c>
      <c r="E33" s="39">
        <f t="shared" si="4"/>
        <v>1.0499999999999999E-2</v>
      </c>
      <c r="F33" s="42">
        <f t="shared" si="3"/>
        <v>104999.99999999999</v>
      </c>
    </row>
    <row r="34" spans="1:6" x14ac:dyDescent="0.2">
      <c r="A34" s="9">
        <v>0.03</v>
      </c>
      <c r="B34" s="3" t="s">
        <v>139</v>
      </c>
      <c r="C34" s="4" t="s">
        <v>140</v>
      </c>
      <c r="D34" s="6"/>
      <c r="E34" s="39">
        <f t="shared" si="4"/>
        <v>0</v>
      </c>
      <c r="F34" s="42">
        <f t="shared" si="3"/>
        <v>0</v>
      </c>
    </row>
    <row r="35" spans="1:6" x14ac:dyDescent="0.2">
      <c r="A35" s="9">
        <v>1.4999999999999999E-2</v>
      </c>
      <c r="B35" s="3" t="s">
        <v>107</v>
      </c>
      <c r="C35" s="4" t="s">
        <v>138</v>
      </c>
      <c r="D35" s="6"/>
      <c r="E35" s="39">
        <f t="shared" si="4"/>
        <v>0</v>
      </c>
      <c r="F35" s="42">
        <f t="shared" si="3"/>
        <v>0</v>
      </c>
    </row>
    <row r="36" spans="1:6" x14ac:dyDescent="0.2">
      <c r="A36" s="9">
        <v>0.06</v>
      </c>
      <c r="B36" s="3" t="s">
        <v>167</v>
      </c>
      <c r="C36" s="4" t="s">
        <v>168</v>
      </c>
      <c r="D36" s="6">
        <v>0.05</v>
      </c>
      <c r="E36" s="39">
        <f t="shared" si="4"/>
        <v>1.7499999999999998E-2</v>
      </c>
      <c r="F36" s="42">
        <f t="shared" si="3"/>
        <v>174999.99999999997</v>
      </c>
    </row>
    <row r="37" spans="1:6" x14ac:dyDescent="0.2">
      <c r="B37" s="3" t="s">
        <v>109</v>
      </c>
      <c r="C37" s="4" t="s">
        <v>117</v>
      </c>
      <c r="D37" s="6">
        <v>0.05</v>
      </c>
      <c r="E37" s="39">
        <f t="shared" si="4"/>
        <v>1.7499999999999998E-2</v>
      </c>
      <c r="F37" s="42">
        <f t="shared" si="3"/>
        <v>174999.99999999997</v>
      </c>
    </row>
    <row r="38" spans="1:6" x14ac:dyDescent="0.2">
      <c r="B38" s="3" t="s">
        <v>110</v>
      </c>
      <c r="C38" s="4" t="s">
        <v>118</v>
      </c>
      <c r="D38" s="6"/>
      <c r="E38" s="39">
        <f t="shared" si="4"/>
        <v>0</v>
      </c>
      <c r="F38" s="42">
        <f t="shared" si="3"/>
        <v>0</v>
      </c>
    </row>
    <row r="39" spans="1:6" x14ac:dyDescent="0.2">
      <c r="B39" s="3" t="s">
        <v>127</v>
      </c>
      <c r="C39" s="4" t="s">
        <v>128</v>
      </c>
      <c r="D39" s="6"/>
      <c r="E39" s="39">
        <f t="shared" si="4"/>
        <v>0</v>
      </c>
      <c r="F39" s="42">
        <f t="shared" si="3"/>
        <v>0</v>
      </c>
    </row>
    <row r="40" spans="1:6" x14ac:dyDescent="0.2">
      <c r="B40" s="3" t="s">
        <v>129</v>
      </c>
      <c r="C40" s="4" t="s">
        <v>130</v>
      </c>
      <c r="D40" s="6"/>
      <c r="E40" s="39">
        <f t="shared" si="4"/>
        <v>0</v>
      </c>
      <c r="F40" s="42">
        <f t="shared" si="3"/>
        <v>0</v>
      </c>
    </row>
    <row r="41" spans="1:6" x14ac:dyDescent="0.2">
      <c r="B41" s="3" t="s">
        <v>111</v>
      </c>
      <c r="C41" s="4" t="s">
        <v>119</v>
      </c>
      <c r="D41" s="6">
        <v>0.05</v>
      </c>
      <c r="E41" s="39">
        <f t="shared" si="4"/>
        <v>1.7499999999999998E-2</v>
      </c>
      <c r="F41" s="42">
        <f t="shared" si="3"/>
        <v>174999.99999999997</v>
      </c>
    </row>
    <row r="42" spans="1:6" x14ac:dyDescent="0.2">
      <c r="B42" s="3" t="s">
        <v>112</v>
      </c>
      <c r="C42" s="4" t="s">
        <v>120</v>
      </c>
      <c r="D42" s="6">
        <v>0.05</v>
      </c>
      <c r="E42" s="39">
        <f t="shared" si="4"/>
        <v>1.7499999999999998E-2</v>
      </c>
      <c r="F42" s="42">
        <f t="shared" si="3"/>
        <v>174999.99999999997</v>
      </c>
    </row>
    <row r="43" spans="1:6" x14ac:dyDescent="0.2">
      <c r="B43" s="3" t="s">
        <v>113</v>
      </c>
      <c r="C43" s="4" t="s">
        <v>121</v>
      </c>
      <c r="D43" s="6">
        <v>0</v>
      </c>
      <c r="E43" s="39">
        <f t="shared" si="4"/>
        <v>0</v>
      </c>
      <c r="F43" s="42">
        <f t="shared" si="3"/>
        <v>0</v>
      </c>
    </row>
    <row r="44" spans="1:6" x14ac:dyDescent="0.2">
      <c r="B44" s="3" t="s">
        <v>114</v>
      </c>
      <c r="C44" s="4" t="s">
        <v>122</v>
      </c>
      <c r="D44" s="6"/>
      <c r="E44" s="39">
        <f t="shared" si="4"/>
        <v>0</v>
      </c>
      <c r="F44" s="42">
        <f t="shared" si="3"/>
        <v>0</v>
      </c>
    </row>
    <row r="45" spans="1:6" x14ac:dyDescent="0.2">
      <c r="B45" s="3" t="s">
        <v>125</v>
      </c>
      <c r="C45" s="4" t="s">
        <v>126</v>
      </c>
      <c r="D45" s="6"/>
      <c r="E45" s="39">
        <f t="shared" si="4"/>
        <v>0</v>
      </c>
      <c r="F45" s="42">
        <f t="shared" si="3"/>
        <v>0</v>
      </c>
    </row>
    <row r="46" spans="1:6" x14ac:dyDescent="0.2">
      <c r="B46" s="3" t="s">
        <v>131</v>
      </c>
      <c r="C46" s="4" t="s">
        <v>132</v>
      </c>
      <c r="D46" s="6"/>
      <c r="E46" s="39">
        <f t="shared" si="4"/>
        <v>0</v>
      </c>
      <c r="F46" s="42">
        <f t="shared" si="3"/>
        <v>0</v>
      </c>
    </row>
    <row r="47" spans="1:6" x14ac:dyDescent="0.2">
      <c r="B47" s="3" t="s">
        <v>123</v>
      </c>
      <c r="C47" s="4" t="s">
        <v>124</v>
      </c>
      <c r="D47" s="6"/>
      <c r="E47" s="39">
        <f t="shared" si="4"/>
        <v>0</v>
      </c>
      <c r="F47" s="42">
        <f t="shared" si="3"/>
        <v>0</v>
      </c>
    </row>
    <row r="48" spans="1:6" x14ac:dyDescent="0.2">
      <c r="A48" s="1" t="s">
        <v>176</v>
      </c>
      <c r="B48" s="1"/>
      <c r="C48" s="2"/>
      <c r="D48" s="10">
        <f>SUM(D27:D47)</f>
        <v>1.0000000000000002</v>
      </c>
      <c r="E48" s="11">
        <f>SUM(E27:E47)</f>
        <v>0.35000000000000009</v>
      </c>
      <c r="F48" s="41">
        <f t="shared" ref="F48:F79" si="5">+E48*$F$9</f>
        <v>3500000.0000000009</v>
      </c>
    </row>
    <row r="49" spans="1:6" x14ac:dyDescent="0.2">
      <c r="A49" s="20" t="s">
        <v>169</v>
      </c>
      <c r="B49" s="20" t="s">
        <v>13</v>
      </c>
      <c r="C49" s="21" t="s">
        <v>100</v>
      </c>
      <c r="D49" s="22" t="s">
        <v>166</v>
      </c>
      <c r="E49" s="43">
        <f>+E6</f>
        <v>0.12</v>
      </c>
      <c r="F49" s="44">
        <f t="shared" si="5"/>
        <v>1200000</v>
      </c>
    </row>
    <row r="50" spans="1:6" x14ac:dyDescent="0.2">
      <c r="B50" s="23" t="s">
        <v>14</v>
      </c>
      <c r="C50" s="24" t="s">
        <v>15</v>
      </c>
      <c r="D50" s="25">
        <v>0.15</v>
      </c>
      <c r="E50" s="25">
        <f>+D50*$E$49</f>
        <v>1.7999999999999999E-2</v>
      </c>
      <c r="F50" s="45">
        <f t="shared" si="5"/>
        <v>180000</v>
      </c>
    </row>
    <row r="51" spans="1:6" x14ac:dyDescent="0.2">
      <c r="B51" s="23" t="s">
        <v>16</v>
      </c>
      <c r="C51" s="24" t="s">
        <v>17</v>
      </c>
      <c r="D51" s="25">
        <v>0.1</v>
      </c>
      <c r="E51" s="56">
        <f>+D51*$E$49</f>
        <v>1.2E-2</v>
      </c>
      <c r="F51" s="45">
        <f t="shared" si="5"/>
        <v>120000</v>
      </c>
    </row>
    <row r="52" spans="1:6" x14ac:dyDescent="0.2">
      <c r="B52" s="23" t="s">
        <v>18</v>
      </c>
      <c r="C52" s="24" t="s">
        <v>19</v>
      </c>
      <c r="D52" s="25">
        <v>0</v>
      </c>
      <c r="E52" s="56">
        <f t="shared" ref="E52:E64" si="6">+D52*$E$49</f>
        <v>0</v>
      </c>
      <c r="F52" s="45">
        <f t="shared" si="5"/>
        <v>0</v>
      </c>
    </row>
    <row r="53" spans="1:6" x14ac:dyDescent="0.2">
      <c r="B53" s="23" t="s">
        <v>20</v>
      </c>
      <c r="C53" s="24" t="s">
        <v>21</v>
      </c>
      <c r="D53" s="25">
        <v>0</v>
      </c>
      <c r="E53" s="56">
        <f t="shared" si="6"/>
        <v>0</v>
      </c>
      <c r="F53" s="45">
        <f t="shared" si="5"/>
        <v>0</v>
      </c>
    </row>
    <row r="54" spans="1:6" x14ac:dyDescent="0.2">
      <c r="B54" s="23" t="s">
        <v>22</v>
      </c>
      <c r="C54" s="24" t="s">
        <v>23</v>
      </c>
      <c r="D54" s="25">
        <v>0</v>
      </c>
      <c r="E54" s="56">
        <f t="shared" si="6"/>
        <v>0</v>
      </c>
      <c r="F54" s="45">
        <f t="shared" si="5"/>
        <v>0</v>
      </c>
    </row>
    <row r="55" spans="1:6" x14ac:dyDescent="0.2">
      <c r="B55" s="23" t="s">
        <v>24</v>
      </c>
      <c r="C55" s="24" t="s">
        <v>25</v>
      </c>
      <c r="D55" s="25">
        <v>0.1</v>
      </c>
      <c r="E55" s="56">
        <f t="shared" si="6"/>
        <v>1.2E-2</v>
      </c>
      <c r="F55" s="45">
        <f t="shared" si="5"/>
        <v>120000</v>
      </c>
    </row>
    <row r="56" spans="1:6" x14ac:dyDescent="0.2">
      <c r="B56" s="23" t="s">
        <v>26</v>
      </c>
      <c r="C56" s="24" t="s">
        <v>27</v>
      </c>
      <c r="D56" s="25">
        <v>0</v>
      </c>
      <c r="E56" s="56">
        <f t="shared" si="6"/>
        <v>0</v>
      </c>
      <c r="F56" s="45">
        <f t="shared" si="5"/>
        <v>0</v>
      </c>
    </row>
    <row r="57" spans="1:6" x14ac:dyDescent="0.2">
      <c r="B57" s="23" t="s">
        <v>28</v>
      </c>
      <c r="C57" s="24" t="s">
        <v>29</v>
      </c>
      <c r="D57" s="25">
        <v>0.1</v>
      </c>
      <c r="E57" s="56">
        <f t="shared" si="6"/>
        <v>1.2E-2</v>
      </c>
      <c r="F57" s="45">
        <f t="shared" si="5"/>
        <v>120000</v>
      </c>
    </row>
    <row r="58" spans="1:6" x14ac:dyDescent="0.2">
      <c r="B58" s="23" t="s">
        <v>30</v>
      </c>
      <c r="C58" s="24" t="s">
        <v>31</v>
      </c>
      <c r="D58" s="25">
        <v>0</v>
      </c>
      <c r="E58" s="56">
        <f t="shared" si="6"/>
        <v>0</v>
      </c>
      <c r="F58" s="45">
        <f t="shared" si="5"/>
        <v>0</v>
      </c>
    </row>
    <row r="59" spans="1:6" x14ac:dyDescent="0.2">
      <c r="B59" s="23" t="s">
        <v>32</v>
      </c>
      <c r="C59" s="24" t="s">
        <v>33</v>
      </c>
      <c r="D59" s="25">
        <v>0.1</v>
      </c>
      <c r="E59" s="25">
        <f t="shared" si="6"/>
        <v>1.2E-2</v>
      </c>
      <c r="F59" s="45">
        <f t="shared" si="5"/>
        <v>120000</v>
      </c>
    </row>
    <row r="60" spans="1:6" x14ac:dyDescent="0.2">
      <c r="B60" s="23" t="s">
        <v>34</v>
      </c>
      <c r="C60" s="24" t="s">
        <v>35</v>
      </c>
      <c r="D60" s="25">
        <v>0</v>
      </c>
      <c r="E60" s="25">
        <f t="shared" si="6"/>
        <v>0</v>
      </c>
      <c r="F60" s="45">
        <f t="shared" si="5"/>
        <v>0</v>
      </c>
    </row>
    <row r="61" spans="1:6" x14ac:dyDescent="0.2">
      <c r="B61" s="23" t="s">
        <v>36</v>
      </c>
      <c r="C61" s="24" t="s">
        <v>37</v>
      </c>
      <c r="D61" s="25">
        <v>0</v>
      </c>
      <c r="E61" s="25">
        <f t="shared" si="6"/>
        <v>0</v>
      </c>
      <c r="F61" s="45">
        <f t="shared" si="5"/>
        <v>0</v>
      </c>
    </row>
    <row r="62" spans="1:6" x14ac:dyDescent="0.2">
      <c r="B62" s="23" t="s">
        <v>38</v>
      </c>
      <c r="C62" s="24" t="s">
        <v>39</v>
      </c>
      <c r="D62" s="25">
        <v>0</v>
      </c>
      <c r="E62" s="25">
        <f t="shared" si="6"/>
        <v>0</v>
      </c>
      <c r="F62" s="45">
        <f t="shared" si="5"/>
        <v>0</v>
      </c>
    </row>
    <row r="63" spans="1:6" x14ac:dyDescent="0.2">
      <c r="B63" s="23" t="s">
        <v>40</v>
      </c>
      <c r="C63" s="24" t="s">
        <v>41</v>
      </c>
      <c r="D63" s="25">
        <v>0</v>
      </c>
      <c r="E63" s="25">
        <f t="shared" si="6"/>
        <v>0</v>
      </c>
      <c r="F63" s="45">
        <f t="shared" si="5"/>
        <v>0</v>
      </c>
    </row>
    <row r="64" spans="1:6" x14ac:dyDescent="0.2">
      <c r="B64" s="23" t="s">
        <v>42</v>
      </c>
      <c r="C64" s="24" t="s">
        <v>43</v>
      </c>
      <c r="D64" s="25">
        <v>0.15</v>
      </c>
      <c r="E64" s="25">
        <f t="shared" si="6"/>
        <v>1.7999999999999999E-2</v>
      </c>
      <c r="F64" s="45">
        <f t="shared" si="5"/>
        <v>180000</v>
      </c>
    </row>
    <row r="65" spans="2:6" x14ac:dyDescent="0.2">
      <c r="B65" s="46" t="s">
        <v>178</v>
      </c>
      <c r="C65" s="46"/>
      <c r="D65" s="47">
        <f>SUM(D50:D64)</f>
        <v>0.7</v>
      </c>
      <c r="E65" s="48">
        <f>SUM(E50:E64)</f>
        <v>8.3999999999999991E-2</v>
      </c>
      <c r="F65" s="49">
        <f t="shared" si="5"/>
        <v>839999.99999999988</v>
      </c>
    </row>
    <row r="66" spans="2:6" x14ac:dyDescent="0.2">
      <c r="B66" s="20" t="s">
        <v>1</v>
      </c>
      <c r="C66" s="21" t="s">
        <v>100</v>
      </c>
      <c r="D66" s="22" t="s">
        <v>166</v>
      </c>
      <c r="E66" s="43">
        <f>+E6</f>
        <v>0.12</v>
      </c>
      <c r="F66" s="44">
        <f t="shared" si="5"/>
        <v>1200000</v>
      </c>
    </row>
    <row r="67" spans="2:6" x14ac:dyDescent="0.2">
      <c r="B67" s="23" t="s">
        <v>55</v>
      </c>
      <c r="C67" s="24" t="s">
        <v>2</v>
      </c>
      <c r="D67" s="25">
        <v>0.1</v>
      </c>
      <c r="E67" s="56">
        <f>+D67*$E$66</f>
        <v>1.2E-2</v>
      </c>
      <c r="F67" s="45">
        <f t="shared" si="5"/>
        <v>120000</v>
      </c>
    </row>
    <row r="68" spans="2:6" x14ac:dyDescent="0.2">
      <c r="B68" s="23" t="s">
        <v>3</v>
      </c>
      <c r="C68" s="24" t="s">
        <v>44</v>
      </c>
      <c r="D68" s="25">
        <v>0</v>
      </c>
      <c r="E68" s="56">
        <f t="shared" ref="E68:E80" si="7">+D68*$E$66</f>
        <v>0</v>
      </c>
      <c r="F68" s="45">
        <f t="shared" si="5"/>
        <v>0</v>
      </c>
    </row>
    <row r="69" spans="2:6" x14ac:dyDescent="0.2">
      <c r="B69" s="23" t="s">
        <v>4</v>
      </c>
      <c r="C69" s="24" t="s">
        <v>45</v>
      </c>
      <c r="D69" s="25">
        <v>0</v>
      </c>
      <c r="E69" s="56">
        <f t="shared" si="7"/>
        <v>0</v>
      </c>
      <c r="F69" s="45">
        <f t="shared" si="5"/>
        <v>0</v>
      </c>
    </row>
    <row r="70" spans="2:6" x14ac:dyDescent="0.2">
      <c r="B70" s="23" t="s">
        <v>54</v>
      </c>
      <c r="C70" s="24" t="s">
        <v>46</v>
      </c>
      <c r="D70" s="25">
        <v>0</v>
      </c>
      <c r="E70" s="56">
        <f t="shared" si="7"/>
        <v>0</v>
      </c>
      <c r="F70" s="45">
        <f t="shared" si="5"/>
        <v>0</v>
      </c>
    </row>
    <row r="71" spans="2:6" x14ac:dyDescent="0.2">
      <c r="B71" s="23" t="s">
        <v>5</v>
      </c>
      <c r="C71" s="24" t="s">
        <v>47</v>
      </c>
      <c r="D71" s="25">
        <v>0</v>
      </c>
      <c r="E71" s="56">
        <f t="shared" si="7"/>
        <v>0</v>
      </c>
      <c r="F71" s="45">
        <f t="shared" si="5"/>
        <v>0</v>
      </c>
    </row>
    <row r="72" spans="2:6" x14ac:dyDescent="0.2">
      <c r="B72" s="23" t="s">
        <v>7</v>
      </c>
      <c r="C72" s="24" t="s">
        <v>48</v>
      </c>
      <c r="D72" s="25">
        <v>0</v>
      </c>
      <c r="E72" s="56">
        <f t="shared" si="7"/>
        <v>0</v>
      </c>
      <c r="F72" s="45">
        <f t="shared" si="5"/>
        <v>0</v>
      </c>
    </row>
    <row r="73" spans="2:6" x14ac:dyDescent="0.2">
      <c r="B73" s="23" t="s">
        <v>6</v>
      </c>
      <c r="C73" s="24" t="s">
        <v>49</v>
      </c>
      <c r="D73" s="25">
        <v>0</v>
      </c>
      <c r="E73" s="56">
        <f t="shared" si="7"/>
        <v>0</v>
      </c>
      <c r="F73" s="45">
        <f t="shared" si="5"/>
        <v>0</v>
      </c>
    </row>
    <row r="74" spans="2:6" x14ac:dyDescent="0.2">
      <c r="B74" s="23" t="s">
        <v>8</v>
      </c>
      <c r="C74" s="24" t="s">
        <v>50</v>
      </c>
      <c r="D74" s="25">
        <v>0</v>
      </c>
      <c r="E74" s="56">
        <f t="shared" si="7"/>
        <v>0</v>
      </c>
      <c r="F74" s="45">
        <f t="shared" si="5"/>
        <v>0</v>
      </c>
    </row>
    <row r="75" spans="2:6" x14ac:dyDescent="0.2">
      <c r="B75" s="23" t="s">
        <v>9</v>
      </c>
      <c r="C75" s="24" t="s">
        <v>170</v>
      </c>
      <c r="D75" s="25">
        <v>0.1</v>
      </c>
      <c r="E75" s="56">
        <f t="shared" si="7"/>
        <v>1.2E-2</v>
      </c>
      <c r="F75" s="45">
        <f t="shared" si="5"/>
        <v>120000</v>
      </c>
    </row>
    <row r="76" spans="2:6" x14ac:dyDescent="0.2">
      <c r="B76" s="23" t="s">
        <v>58</v>
      </c>
      <c r="C76" s="24" t="s">
        <v>158</v>
      </c>
      <c r="D76" s="25">
        <v>0</v>
      </c>
      <c r="E76" s="56">
        <f t="shared" si="7"/>
        <v>0</v>
      </c>
      <c r="F76" s="45">
        <f t="shared" si="5"/>
        <v>0</v>
      </c>
    </row>
    <row r="77" spans="2:6" x14ac:dyDescent="0.2">
      <c r="B77" s="23" t="s">
        <v>10</v>
      </c>
      <c r="C77" s="24" t="s">
        <v>51</v>
      </c>
      <c r="D77" s="25">
        <v>0</v>
      </c>
      <c r="E77" s="56">
        <f t="shared" si="7"/>
        <v>0</v>
      </c>
      <c r="F77" s="45">
        <f t="shared" si="5"/>
        <v>0</v>
      </c>
    </row>
    <row r="78" spans="2:6" x14ac:dyDescent="0.2">
      <c r="B78" s="23" t="s">
        <v>11</v>
      </c>
      <c r="C78" s="24" t="s">
        <v>52</v>
      </c>
      <c r="D78" s="25">
        <v>0.1</v>
      </c>
      <c r="E78" s="56">
        <f t="shared" si="7"/>
        <v>1.2E-2</v>
      </c>
      <c r="F78" s="45">
        <f t="shared" si="5"/>
        <v>120000</v>
      </c>
    </row>
    <row r="79" spans="2:6" x14ac:dyDescent="0.2">
      <c r="B79" s="23" t="s">
        <v>12</v>
      </c>
      <c r="C79" s="24" t="s">
        <v>53</v>
      </c>
      <c r="D79" s="25">
        <v>0</v>
      </c>
      <c r="E79" s="56">
        <f t="shared" si="7"/>
        <v>0</v>
      </c>
      <c r="F79" s="45">
        <f t="shared" si="5"/>
        <v>0</v>
      </c>
    </row>
    <row r="80" spans="2:6" x14ac:dyDescent="0.2">
      <c r="B80" s="23" t="s">
        <v>56</v>
      </c>
      <c r="C80" s="24" t="s">
        <v>57</v>
      </c>
      <c r="D80" s="25">
        <v>0</v>
      </c>
      <c r="E80" s="56">
        <f t="shared" si="7"/>
        <v>0</v>
      </c>
      <c r="F80" s="45">
        <f t="shared" ref="F80:F81" si="8">+E80*$F$9</f>
        <v>0</v>
      </c>
    </row>
    <row r="81" spans="1:6" x14ac:dyDescent="0.2">
      <c r="B81" s="46" t="s">
        <v>179</v>
      </c>
      <c r="C81" s="46"/>
      <c r="D81" s="47">
        <f>SUM(D67:D80)</f>
        <v>0.30000000000000004</v>
      </c>
      <c r="E81" s="48">
        <f>SUM(E67:E80)</f>
        <v>3.6000000000000004E-2</v>
      </c>
      <c r="F81" s="49">
        <f t="shared" si="8"/>
        <v>360000.00000000006</v>
      </c>
    </row>
    <row r="82" spans="1:6" x14ac:dyDescent="0.2">
      <c r="A82" s="20" t="s">
        <v>180</v>
      </c>
      <c r="B82" s="20"/>
      <c r="C82" s="21"/>
      <c r="D82" s="22"/>
      <c r="E82" s="43">
        <f>SUM(E50:E64)+SUM(E67:E80)</f>
        <v>0.12</v>
      </c>
      <c r="F82" s="50">
        <f>SUM(F50:F64)+SUM(F67:F80)</f>
        <v>1200000</v>
      </c>
    </row>
    <row r="83" spans="1:6" x14ac:dyDescent="0.2">
      <c r="A83" s="26" t="s">
        <v>199</v>
      </c>
      <c r="B83" s="26" t="s">
        <v>59</v>
      </c>
      <c r="C83" s="27" t="s">
        <v>100</v>
      </c>
      <c r="D83" s="28" t="s">
        <v>166</v>
      </c>
      <c r="E83" s="29">
        <f>+E7</f>
        <v>0.08</v>
      </c>
      <c r="F83" s="52">
        <f t="shared" ref="F83:F104" si="9">+E83*$F$9</f>
        <v>800000</v>
      </c>
    </row>
    <row r="84" spans="1:6" x14ac:dyDescent="0.2">
      <c r="B84" s="30" t="s">
        <v>60</v>
      </c>
      <c r="C84" s="31" t="s">
        <v>196</v>
      </c>
      <c r="D84" s="32">
        <v>0.15</v>
      </c>
      <c r="E84" s="51">
        <f>+D84*$E$83</f>
        <v>1.2E-2</v>
      </c>
      <c r="F84" s="53">
        <f t="shared" si="9"/>
        <v>120000</v>
      </c>
    </row>
    <row r="85" spans="1:6" x14ac:dyDescent="0.2">
      <c r="B85" s="30" t="s">
        <v>61</v>
      </c>
      <c r="C85" s="31" t="s">
        <v>62</v>
      </c>
      <c r="D85" s="32">
        <v>0.15</v>
      </c>
      <c r="E85" s="51">
        <f t="shared" ref="E85:E104" si="10">+D85*$E$83</f>
        <v>1.2E-2</v>
      </c>
      <c r="F85" s="53">
        <f t="shared" si="9"/>
        <v>120000</v>
      </c>
    </row>
    <row r="86" spans="1:6" x14ac:dyDescent="0.2">
      <c r="B86" s="30" t="s">
        <v>63</v>
      </c>
      <c r="C86" s="31" t="s">
        <v>64</v>
      </c>
      <c r="D86" s="32">
        <v>0</v>
      </c>
      <c r="E86" s="51">
        <f t="shared" si="10"/>
        <v>0</v>
      </c>
      <c r="F86" s="53">
        <f t="shared" si="9"/>
        <v>0</v>
      </c>
    </row>
    <row r="87" spans="1:6" x14ac:dyDescent="0.2">
      <c r="B87" s="30" t="s">
        <v>65</v>
      </c>
      <c r="C87" s="31" t="s">
        <v>66</v>
      </c>
      <c r="D87" s="32">
        <v>0</v>
      </c>
      <c r="E87" s="51">
        <f t="shared" si="10"/>
        <v>0</v>
      </c>
      <c r="F87" s="53">
        <f t="shared" si="9"/>
        <v>0</v>
      </c>
    </row>
    <row r="88" spans="1:6" x14ac:dyDescent="0.2">
      <c r="B88" s="30" t="s">
        <v>67</v>
      </c>
      <c r="C88" s="31" t="s">
        <v>68</v>
      </c>
      <c r="D88" s="32">
        <v>0</v>
      </c>
      <c r="E88" s="51">
        <f t="shared" si="10"/>
        <v>0</v>
      </c>
      <c r="F88" s="53">
        <f t="shared" si="9"/>
        <v>0</v>
      </c>
    </row>
    <row r="89" spans="1:6" x14ac:dyDescent="0.2">
      <c r="B89" s="30" t="s">
        <v>98</v>
      </c>
      <c r="C89" s="31" t="s">
        <v>69</v>
      </c>
      <c r="D89" s="32">
        <v>0.15</v>
      </c>
      <c r="E89" s="51">
        <f t="shared" si="10"/>
        <v>1.2E-2</v>
      </c>
      <c r="F89" s="53">
        <f t="shared" si="9"/>
        <v>120000</v>
      </c>
    </row>
    <row r="90" spans="1:6" x14ac:dyDescent="0.2">
      <c r="B90" s="30" t="s">
        <v>70</v>
      </c>
      <c r="C90" s="31" t="s">
        <v>71</v>
      </c>
      <c r="D90" s="32">
        <v>0</v>
      </c>
      <c r="E90" s="51">
        <f t="shared" si="10"/>
        <v>0</v>
      </c>
      <c r="F90" s="53">
        <f t="shared" si="9"/>
        <v>0</v>
      </c>
    </row>
    <row r="91" spans="1:6" x14ac:dyDescent="0.2">
      <c r="B91" s="30" t="s">
        <v>72</v>
      </c>
      <c r="C91" s="31" t="s">
        <v>73</v>
      </c>
      <c r="D91" s="32">
        <v>0</v>
      </c>
      <c r="E91" s="51">
        <f t="shared" si="10"/>
        <v>0</v>
      </c>
      <c r="F91" s="53">
        <f t="shared" si="9"/>
        <v>0</v>
      </c>
    </row>
    <row r="92" spans="1:6" x14ac:dyDescent="0.2">
      <c r="B92" s="30" t="s">
        <v>74</v>
      </c>
      <c r="C92" s="31" t="s">
        <v>75</v>
      </c>
      <c r="D92" s="32">
        <v>0.15</v>
      </c>
      <c r="E92" s="51">
        <f t="shared" si="10"/>
        <v>1.2E-2</v>
      </c>
      <c r="F92" s="53">
        <f t="shared" si="9"/>
        <v>120000</v>
      </c>
    </row>
    <row r="93" spans="1:6" x14ac:dyDescent="0.2">
      <c r="B93" s="30" t="s">
        <v>76</v>
      </c>
      <c r="C93" s="31" t="s">
        <v>77</v>
      </c>
      <c r="D93" s="32">
        <v>0</v>
      </c>
      <c r="E93" s="51">
        <f t="shared" si="10"/>
        <v>0</v>
      </c>
      <c r="F93" s="53">
        <f t="shared" si="9"/>
        <v>0</v>
      </c>
    </row>
    <row r="94" spans="1:6" x14ac:dyDescent="0.2">
      <c r="B94" s="30" t="s">
        <v>78</v>
      </c>
      <c r="C94" s="31" t="s">
        <v>79</v>
      </c>
      <c r="D94" s="32">
        <v>0</v>
      </c>
      <c r="E94" s="51">
        <f t="shared" si="10"/>
        <v>0</v>
      </c>
      <c r="F94" s="53">
        <f t="shared" si="9"/>
        <v>0</v>
      </c>
    </row>
    <row r="95" spans="1:6" x14ac:dyDescent="0.2">
      <c r="B95" s="30" t="s">
        <v>80</v>
      </c>
      <c r="C95" s="31" t="s">
        <v>81</v>
      </c>
      <c r="D95" s="32">
        <v>0</v>
      </c>
      <c r="E95" s="51">
        <f t="shared" si="10"/>
        <v>0</v>
      </c>
      <c r="F95" s="53">
        <f t="shared" si="9"/>
        <v>0</v>
      </c>
    </row>
    <row r="96" spans="1:6" x14ac:dyDescent="0.2">
      <c r="B96" s="30" t="s">
        <v>82</v>
      </c>
      <c r="C96" s="31" t="s">
        <v>83</v>
      </c>
      <c r="D96" s="32">
        <v>0.2</v>
      </c>
      <c r="E96" s="51">
        <f t="shared" si="10"/>
        <v>1.6E-2</v>
      </c>
      <c r="F96" s="53">
        <f t="shared" si="9"/>
        <v>160000</v>
      </c>
    </row>
    <row r="97" spans="1:6" x14ac:dyDescent="0.2">
      <c r="B97" s="30" t="s">
        <v>84</v>
      </c>
      <c r="C97" s="31" t="s">
        <v>85</v>
      </c>
      <c r="D97" s="32">
        <v>0</v>
      </c>
      <c r="E97" s="51">
        <f t="shared" si="10"/>
        <v>0</v>
      </c>
      <c r="F97" s="53">
        <f t="shared" si="9"/>
        <v>0</v>
      </c>
    </row>
    <row r="98" spans="1:6" x14ac:dyDescent="0.2">
      <c r="B98" s="30" t="s">
        <v>87</v>
      </c>
      <c r="C98" s="31" t="s">
        <v>86</v>
      </c>
      <c r="D98" s="32">
        <v>0</v>
      </c>
      <c r="E98" s="51">
        <f t="shared" si="10"/>
        <v>0</v>
      </c>
      <c r="F98" s="53">
        <f t="shared" si="9"/>
        <v>0</v>
      </c>
    </row>
    <row r="99" spans="1:6" x14ac:dyDescent="0.2">
      <c r="B99" s="30" t="s">
        <v>88</v>
      </c>
      <c r="C99" s="31" t="s">
        <v>89</v>
      </c>
      <c r="D99" s="32">
        <v>0</v>
      </c>
      <c r="E99" s="51">
        <f t="shared" si="10"/>
        <v>0</v>
      </c>
      <c r="F99" s="53">
        <f t="shared" si="9"/>
        <v>0</v>
      </c>
    </row>
    <row r="100" spans="1:6" x14ac:dyDescent="0.2">
      <c r="B100" s="30" t="s">
        <v>90</v>
      </c>
      <c r="C100" s="31" t="s">
        <v>91</v>
      </c>
      <c r="D100" s="32">
        <v>0.1</v>
      </c>
      <c r="E100" s="51">
        <f t="shared" si="10"/>
        <v>8.0000000000000002E-3</v>
      </c>
      <c r="F100" s="53">
        <f t="shared" si="9"/>
        <v>80000</v>
      </c>
    </row>
    <row r="101" spans="1:6" x14ac:dyDescent="0.2">
      <c r="B101" s="30" t="s">
        <v>95</v>
      </c>
      <c r="C101" s="31" t="s">
        <v>92</v>
      </c>
      <c r="D101" s="32">
        <v>0</v>
      </c>
      <c r="E101" s="51">
        <f t="shared" si="10"/>
        <v>0</v>
      </c>
      <c r="F101" s="53">
        <f t="shared" si="9"/>
        <v>0</v>
      </c>
    </row>
    <row r="102" spans="1:6" x14ac:dyDescent="0.2">
      <c r="B102" s="30" t="s">
        <v>96</v>
      </c>
      <c r="C102" s="31" t="s">
        <v>93</v>
      </c>
      <c r="D102" s="32">
        <v>0.1</v>
      </c>
      <c r="E102" s="51">
        <f t="shared" si="10"/>
        <v>8.0000000000000002E-3</v>
      </c>
      <c r="F102" s="53">
        <f t="shared" si="9"/>
        <v>80000</v>
      </c>
    </row>
    <row r="103" spans="1:6" x14ac:dyDescent="0.2">
      <c r="B103" s="30" t="s">
        <v>97</v>
      </c>
      <c r="C103" s="31" t="s">
        <v>94</v>
      </c>
      <c r="D103" s="32">
        <v>0</v>
      </c>
      <c r="E103" s="51">
        <f t="shared" si="10"/>
        <v>0</v>
      </c>
      <c r="F103" s="53">
        <f t="shared" si="9"/>
        <v>0</v>
      </c>
    </row>
    <row r="104" spans="1:6" x14ac:dyDescent="0.2">
      <c r="B104" s="30" t="s">
        <v>72</v>
      </c>
      <c r="C104" s="31" t="s">
        <v>99</v>
      </c>
      <c r="D104" s="32">
        <v>0</v>
      </c>
      <c r="E104" s="51">
        <f t="shared" si="10"/>
        <v>0</v>
      </c>
      <c r="F104" s="53">
        <f t="shared" si="9"/>
        <v>0</v>
      </c>
    </row>
    <row r="105" spans="1:6" x14ac:dyDescent="0.2">
      <c r="A105" s="26" t="s">
        <v>182</v>
      </c>
      <c r="B105" s="26"/>
      <c r="C105" s="27"/>
      <c r="D105" s="57">
        <f>SUM(D84:D104)</f>
        <v>1</v>
      </c>
      <c r="E105" s="29">
        <f>SUM(E84:E104)</f>
        <v>8.0000000000000016E-2</v>
      </c>
      <c r="F105" s="52">
        <f>SUM(F84:F104)</f>
        <v>800000</v>
      </c>
    </row>
    <row r="106" spans="1:6" x14ac:dyDescent="0.2">
      <c r="A106" s="1" t="s">
        <v>161</v>
      </c>
      <c r="B106" s="1" t="s">
        <v>200</v>
      </c>
      <c r="C106" s="2" t="s">
        <v>100</v>
      </c>
      <c r="D106" s="5" t="s">
        <v>166</v>
      </c>
      <c r="E106" s="55">
        <f>+E8</f>
        <v>0.12</v>
      </c>
      <c r="F106" s="34">
        <f>+E106*$F$9</f>
        <v>1200000</v>
      </c>
    </row>
    <row r="107" spans="1:6" x14ac:dyDescent="0.2">
      <c r="B107" s="3" t="s">
        <v>188</v>
      </c>
      <c r="C107" s="4" t="s">
        <v>192</v>
      </c>
      <c r="D107" s="6">
        <v>0.25</v>
      </c>
      <c r="E107" s="39">
        <f>+D107*$E$106</f>
        <v>0.03</v>
      </c>
      <c r="F107" s="54">
        <f>+E107*$F$9</f>
        <v>300000</v>
      </c>
    </row>
    <row r="108" spans="1:6" x14ac:dyDescent="0.2">
      <c r="B108" s="3" t="s">
        <v>189</v>
      </c>
      <c r="C108" s="4" t="s">
        <v>193</v>
      </c>
      <c r="D108" s="6">
        <v>0.25</v>
      </c>
      <c r="E108" s="39">
        <f t="shared" ref="E108:E114" si="11">+D108*$E$106</f>
        <v>0.03</v>
      </c>
      <c r="F108" s="54">
        <f t="shared" ref="F108:F114" si="12">+E108*$F$9</f>
        <v>300000</v>
      </c>
    </row>
    <row r="109" spans="1:6" x14ac:dyDescent="0.2">
      <c r="B109" s="3" t="s">
        <v>190</v>
      </c>
      <c r="C109" s="4" t="s">
        <v>194</v>
      </c>
      <c r="D109" s="6">
        <v>0.25</v>
      </c>
      <c r="E109" s="39">
        <f t="shared" si="11"/>
        <v>0.03</v>
      </c>
      <c r="F109" s="54">
        <f t="shared" si="12"/>
        <v>300000</v>
      </c>
    </row>
    <row r="110" spans="1:6" x14ac:dyDescent="0.2">
      <c r="B110" s="3" t="s">
        <v>191</v>
      </c>
      <c r="C110" s="4" t="s">
        <v>195</v>
      </c>
      <c r="D110" s="6">
        <v>0.25</v>
      </c>
      <c r="E110" s="39">
        <f t="shared" si="11"/>
        <v>0.03</v>
      </c>
      <c r="F110" s="54">
        <f t="shared" si="12"/>
        <v>300000</v>
      </c>
    </row>
    <row r="111" spans="1:6" x14ac:dyDescent="0.2">
      <c r="B111" s="3"/>
      <c r="C111" s="4"/>
      <c r="D111" s="6">
        <v>0</v>
      </c>
      <c r="E111" s="39">
        <f t="shared" si="11"/>
        <v>0</v>
      </c>
      <c r="F111" s="54">
        <f t="shared" si="12"/>
        <v>0</v>
      </c>
    </row>
    <row r="112" spans="1:6" x14ac:dyDescent="0.2">
      <c r="B112" s="3"/>
      <c r="C112" s="4"/>
      <c r="D112" s="6">
        <v>0</v>
      </c>
      <c r="E112" s="39">
        <f t="shared" si="11"/>
        <v>0</v>
      </c>
      <c r="F112" s="54">
        <f t="shared" si="12"/>
        <v>0</v>
      </c>
    </row>
    <row r="113" spans="1:6" x14ac:dyDescent="0.2">
      <c r="B113" s="3"/>
      <c r="C113" s="4"/>
      <c r="D113" s="6">
        <v>0</v>
      </c>
      <c r="E113" s="39">
        <f t="shared" si="11"/>
        <v>0</v>
      </c>
      <c r="F113" s="54">
        <f t="shared" si="12"/>
        <v>0</v>
      </c>
    </row>
    <row r="114" spans="1:6" x14ac:dyDescent="0.2">
      <c r="B114" s="3"/>
      <c r="C114" s="4"/>
      <c r="D114" s="6">
        <v>0</v>
      </c>
      <c r="E114" s="39">
        <f t="shared" si="11"/>
        <v>0</v>
      </c>
      <c r="F114" s="54">
        <f t="shared" si="12"/>
        <v>0</v>
      </c>
    </row>
    <row r="115" spans="1:6" x14ac:dyDescent="0.2">
      <c r="A115" s="1" t="s">
        <v>181</v>
      </c>
      <c r="B115" s="1"/>
      <c r="C115" s="2"/>
      <c r="D115" s="55">
        <f>SUM(D107:D114)</f>
        <v>1</v>
      </c>
      <c r="E115" s="55">
        <f>SUM(E107:E114)</f>
        <v>0.12</v>
      </c>
      <c r="F115" s="34">
        <f>SUM(F107:F114)</f>
        <v>1200000</v>
      </c>
    </row>
    <row r="117" spans="1:6" x14ac:dyDescent="0.2">
      <c r="E117" s="7">
        <f>+E13+E25+E48+E82+E105+E115</f>
        <v>1</v>
      </c>
      <c r="F117" s="66">
        <f>+F13+F25+F48+F82+F105+F115</f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Demaria</dc:creator>
  <cp:lastModifiedBy>Patricio Demaria</cp:lastModifiedBy>
  <dcterms:created xsi:type="dcterms:W3CDTF">2024-02-27T12:55:20Z</dcterms:created>
  <dcterms:modified xsi:type="dcterms:W3CDTF">2025-11-21T06:10:27Z</dcterms:modified>
</cp:coreProperties>
</file>